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 defaultThemeVersion="166925"/>
  <xr:revisionPtr revIDLastSave="0" documentId="13_ncr:1_{FFF4F860-D72B-49B1-8214-74393D629F14}" xr6:coauthVersionLast="45" xr6:coauthVersionMax="45" xr10:uidLastSave="{00000000-0000-0000-0000-000000000000}"/>
  <bookViews>
    <workbookView xWindow="-120" yWindow="-120" windowWidth="29040" windowHeight="15840" firstSheet="1" activeTab="1" xr2:uid="{3E1144B4-6AF0-4C1A-B658-AC884F86FE4C}"/>
  </bookViews>
  <sheets>
    <sheet name="base" sheetId="3" state="hidden" r:id="rId1"/>
    <sheet name="説明用" sheetId="1" r:id="rId2"/>
    <sheet name="関数で_1" sheetId="2" r:id="rId3"/>
    <sheet name="関数で_2" sheetId="4" r:id="rId4"/>
    <sheet name="VBAで" sheetId="6" r:id="rId5"/>
  </sheets>
  <functionGroups builtInGroupCount="19"/>
  <definedNames>
    <definedName name="_xlnm.Print_Area" localSheetId="4">VBAで!$A$1:$O$39</definedName>
    <definedName name="_xlnm.Print_Area" localSheetId="2">関数で_1!$A$1:$N$23</definedName>
    <definedName name="_xlnm.Print_Area" localSheetId="3">関数で_2!$A$1:$Q$25</definedName>
    <definedName name="_xlnm.Print_Area" localSheetId="1">説明用!$A$1:$R$28</definedName>
  </definedName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4" l="1"/>
  <c r="C16" i="6"/>
  <c r="H3" i="6"/>
  <c r="C24" i="6"/>
  <c r="C41" i="6"/>
  <c r="C39" i="6"/>
  <c r="C18" i="6"/>
  <c r="C28" i="6"/>
  <c r="C26" i="6"/>
  <c r="C38" i="6"/>
  <c r="C42" i="6"/>
  <c r="C22" i="6"/>
  <c r="C20" i="6"/>
  <c r="C25" i="6"/>
  <c r="C29" i="6"/>
  <c r="C40" i="6"/>
  <c r="C19" i="6"/>
  <c r="C23" i="6"/>
  <c r="C27" i="6"/>
  <c r="C30" i="6"/>
  <c r="C17" i="6"/>
  <c r="C21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2" i="6"/>
  <c r="C8" i="6"/>
  <c r="H27" i="6"/>
  <c r="H26" i="6"/>
  <c r="H25" i="6"/>
  <c r="H24" i="6"/>
  <c r="H23" i="6"/>
  <c r="H3" i="2"/>
  <c r="B13" i="6" l="1"/>
  <c r="B12" i="6"/>
  <c r="B11" i="6"/>
  <c r="C7" i="6"/>
  <c r="B7" i="6" s="1"/>
  <c r="B6" i="6"/>
  <c r="B5" i="6"/>
  <c r="B4" i="6"/>
  <c r="B3" i="6"/>
  <c r="H16" i="2"/>
  <c r="H14" i="2"/>
  <c r="H12" i="2"/>
  <c r="H10" i="2"/>
  <c r="H8" i="2"/>
  <c r="H6" i="2"/>
  <c r="H4" i="2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L22" i="4"/>
  <c r="B13" i="4"/>
  <c r="B12" i="4"/>
  <c r="B11" i="4"/>
  <c r="C7" i="4"/>
  <c r="B7" i="4" s="1"/>
  <c r="B6" i="4"/>
  <c r="B5" i="4"/>
  <c r="B4" i="4"/>
  <c r="B3" i="4"/>
  <c r="L22" i="3"/>
  <c r="L21" i="3"/>
  <c r="L20" i="3"/>
  <c r="L19" i="3"/>
  <c r="B13" i="3"/>
  <c r="B12" i="3"/>
  <c r="B11" i="3"/>
  <c r="C7" i="3"/>
  <c r="C8" i="3" s="1"/>
  <c r="B6" i="3"/>
  <c r="B5" i="3"/>
  <c r="B4" i="3"/>
  <c r="B3" i="3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B13" i="2"/>
  <c r="B12" i="2"/>
  <c r="B11" i="2"/>
  <c r="C8" i="2"/>
  <c r="C9" i="2" s="1"/>
  <c r="B8" i="2"/>
  <c r="C7" i="2"/>
  <c r="B7" i="2"/>
  <c r="B6" i="2"/>
  <c r="B5" i="2"/>
  <c r="B4" i="2"/>
  <c r="B3" i="2"/>
  <c r="H5" i="2"/>
  <c r="H15" i="2"/>
  <c r="H7" i="2"/>
  <c r="H17" i="2"/>
  <c r="H9" i="2"/>
  <c r="H13" i="2"/>
  <c r="H11" i="2"/>
  <c r="B8" i="6" l="1"/>
  <c r="C8" i="4"/>
  <c r="B8" i="3"/>
  <c r="C9" i="3"/>
  <c r="B7" i="3"/>
  <c r="C10" i="2"/>
  <c r="B10" i="2" s="1"/>
  <c r="B9" i="2"/>
  <c r="B13" i="1"/>
  <c r="B12" i="1"/>
  <c r="B11" i="1"/>
  <c r="B10" i="1"/>
  <c r="B9" i="1"/>
  <c r="B8" i="1"/>
  <c r="B7" i="1"/>
  <c r="B6" i="1"/>
  <c r="B5" i="1"/>
  <c r="B4" i="1"/>
  <c r="B3" i="1"/>
  <c r="C8" i="1"/>
  <c r="C9" i="1" s="1"/>
  <c r="C10" i="1" s="1"/>
  <c r="C7" i="1"/>
  <c r="C9" i="6" l="1"/>
  <c r="C10" i="6" s="1"/>
  <c r="B10" i="6" s="1"/>
  <c r="B8" i="4"/>
  <c r="C9" i="4"/>
  <c r="C10" i="3"/>
  <c r="B10" i="3" s="1"/>
  <c r="B9" i="3"/>
  <c r="B9" i="6" l="1"/>
  <c r="C10" i="4"/>
  <c r="B10" i="4" s="1"/>
  <c r="B9" i="4"/>
</calcChain>
</file>

<file path=xl/sharedStrings.xml><?xml version="1.0" encoding="utf-8"?>
<sst xmlns="http://schemas.openxmlformats.org/spreadsheetml/2006/main" count="106" uniqueCount="20">
  <si>
    <t>id</t>
    <phoneticPr fontId="1"/>
  </si>
  <si>
    <t>項目</t>
    <rPh sb="0" eb="2">
      <t>コウモク</t>
    </rPh>
    <phoneticPr fontId="1"/>
  </si>
  <si>
    <t>りんご</t>
    <phoneticPr fontId="1"/>
  </si>
  <si>
    <t>みかん</t>
    <phoneticPr fontId="1"/>
  </si>
  <si>
    <t>ぶどう</t>
    <phoneticPr fontId="1"/>
  </si>
  <si>
    <t>フルーツA</t>
    <phoneticPr fontId="1"/>
  </si>
  <si>
    <t>価格</t>
    <rPh sb="0" eb="2">
      <t>カカク</t>
    </rPh>
    <phoneticPr fontId="1"/>
  </si>
  <si>
    <t>id</t>
  </si>
  <si>
    <t>りんご</t>
  </si>
  <si>
    <t/>
  </si>
  <si>
    <t>みかん</t>
  </si>
  <si>
    <t>ぶどう</t>
  </si>
  <si>
    <t>フルーツA</t>
  </si>
  <si>
    <t>フルーツB</t>
  </si>
  <si>
    <t>フルーツC</t>
  </si>
  <si>
    <t>フルーツD</t>
  </si>
  <si>
    <t>フルーツE</t>
  </si>
  <si>
    <t>産地</t>
    <rPh sb="0" eb="2">
      <t>サンチ</t>
    </rPh>
    <phoneticPr fontId="1"/>
  </si>
  <si>
    <t>A県</t>
    <rPh sb="1" eb="2">
      <t>ケン</t>
    </rPh>
    <phoneticPr fontId="1"/>
  </si>
  <si>
    <t>B県</t>
    <rPh sb="1" eb="2">
      <t>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</si>
</sst>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1" xfId="0" applyFill="1" applyBorder="1" applyAlignment="1">
      <alignment horizontal="center" vertical="top"/>
    </xf>
    <xf numFmtId="0" fontId="0" fillId="0" borderId="1" xfId="0" applyBorder="1">
      <alignment vertical="center"/>
    </xf>
    <xf numFmtId="22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CCD9B-01E5-49A1-9B19-9995AA275520}">
  <sheetPr codeName="Sheet3"/>
  <dimension ref="B2:L22"/>
  <sheetViews>
    <sheetView workbookViewId="0">
      <selection activeCell="E14" sqref="E14"/>
    </sheetView>
  </sheetViews>
  <sheetFormatPr defaultRowHeight="18.75" x14ac:dyDescent="0.4"/>
  <cols>
    <col min="3" max="3" width="21" customWidth="1"/>
    <col min="8" max="8" width="15.5" customWidth="1"/>
    <col min="13" max="13" width="17.375" customWidth="1"/>
    <col min="14" max="14" width="11" customWidth="1"/>
    <col min="15" max="15" width="11.25" customWidth="1"/>
  </cols>
  <sheetData>
    <row r="2" spans="2:9" x14ac:dyDescent="0.4">
      <c r="B2" s="1" t="s">
        <v>0</v>
      </c>
      <c r="C2" s="1" t="s">
        <v>1</v>
      </c>
      <c r="D2" s="1" t="s">
        <v>6</v>
      </c>
      <c r="G2" t="s">
        <v>7</v>
      </c>
      <c r="H2" t="s">
        <v>1</v>
      </c>
      <c r="I2" t="s">
        <v>6</v>
      </c>
    </row>
    <row r="3" spans="2:9" x14ac:dyDescent="0.4">
      <c r="B3" s="2">
        <f>IF(COUNTIF(C3:D3,"&lt;&gt;"),ROW()-ROW(B$2),"")</f>
        <v>1</v>
      </c>
      <c r="C3" s="2" t="s">
        <v>2</v>
      </c>
      <c r="D3" s="2">
        <v>100</v>
      </c>
    </row>
    <row r="4" spans="2:9" x14ac:dyDescent="0.4">
      <c r="B4" s="2">
        <f t="shared" ref="B4:B13" si="0">IF(COUNTIF(C4:D4,"&lt;&gt;"),ROW()-ROW(B$2),"")</f>
        <v>2</v>
      </c>
      <c r="C4" s="2" t="s">
        <v>3</v>
      </c>
      <c r="D4" s="2">
        <v>200</v>
      </c>
    </row>
    <row r="5" spans="2:9" x14ac:dyDescent="0.4">
      <c r="B5" s="2">
        <f t="shared" si="0"/>
        <v>3</v>
      </c>
      <c r="C5" s="2" t="s">
        <v>4</v>
      </c>
      <c r="D5" s="2">
        <v>300</v>
      </c>
    </row>
    <row r="6" spans="2:9" x14ac:dyDescent="0.4">
      <c r="B6" s="2">
        <f t="shared" si="0"/>
        <v>4</v>
      </c>
      <c r="C6" s="2" t="s">
        <v>5</v>
      </c>
      <c r="D6" s="2">
        <v>400</v>
      </c>
    </row>
    <row r="7" spans="2:9" x14ac:dyDescent="0.4">
      <c r="B7" s="2">
        <f t="shared" si="0"/>
        <v>5</v>
      </c>
      <c r="C7" s="2" t="str">
        <f>"フルーツ" &amp;CHAR(CODE(MID(C6,FIND("フルーツ",C6)+4,LEN(C6)-4))+1)</f>
        <v>フルーツB</v>
      </c>
      <c r="D7" s="2">
        <v>500</v>
      </c>
    </row>
    <row r="8" spans="2:9" x14ac:dyDescent="0.4">
      <c r="B8" s="2">
        <f t="shared" si="0"/>
        <v>6</v>
      </c>
      <c r="C8" s="2" t="str">
        <f t="shared" ref="C8:C10" si="1">"フルーツ" &amp;CHAR(CODE(MID(C7,FIND("フルーツ",C7)+4,LEN(C7)-4))+1)</f>
        <v>フルーツC</v>
      </c>
      <c r="D8" s="2">
        <v>600</v>
      </c>
    </row>
    <row r="9" spans="2:9" x14ac:dyDescent="0.4">
      <c r="B9" s="2">
        <f t="shared" si="0"/>
        <v>7</v>
      </c>
      <c r="C9" s="2" t="str">
        <f t="shared" si="1"/>
        <v>フルーツD</v>
      </c>
      <c r="D9" s="2">
        <v>700</v>
      </c>
    </row>
    <row r="10" spans="2:9" x14ac:dyDescent="0.4">
      <c r="B10" s="2">
        <f t="shared" si="0"/>
        <v>8</v>
      </c>
      <c r="C10" s="2" t="str">
        <f t="shared" si="1"/>
        <v>フルーツE</v>
      </c>
      <c r="D10" s="2">
        <v>800</v>
      </c>
    </row>
    <row r="11" spans="2:9" x14ac:dyDescent="0.4">
      <c r="B11" t="str">
        <f t="shared" si="0"/>
        <v/>
      </c>
    </row>
    <row r="12" spans="2:9" x14ac:dyDescent="0.4">
      <c r="B12" t="str">
        <f t="shared" si="0"/>
        <v/>
      </c>
    </row>
    <row r="13" spans="2:9" x14ac:dyDescent="0.4">
      <c r="B13" t="str">
        <f t="shared" si="0"/>
        <v/>
      </c>
    </row>
    <row r="19" spans="12:12" x14ac:dyDescent="0.4">
      <c r="L19" t="str">
        <f t="shared" ref="L19:L22" si="2">IF(COUNTIF(M19:O19,"&lt;&gt;"),ROW()-ROW(L$2),"")</f>
        <v/>
      </c>
    </row>
    <row r="20" spans="12:12" x14ac:dyDescent="0.4">
      <c r="L20" t="str">
        <f t="shared" si="2"/>
        <v/>
      </c>
    </row>
    <row r="21" spans="12:12" x14ac:dyDescent="0.4">
      <c r="L21" t="str">
        <f t="shared" si="2"/>
        <v/>
      </c>
    </row>
    <row r="22" spans="12:12" x14ac:dyDescent="0.4">
      <c r="L22" t="str">
        <f t="shared" si="2"/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28024-30DD-4B1A-908E-85F8F248A5CB}">
  <sheetPr codeName="Sheet1"/>
  <dimension ref="B2:O22"/>
  <sheetViews>
    <sheetView tabSelected="1" view="pageBreakPreview" zoomScale="85" zoomScaleNormal="100" zoomScaleSheetLayoutView="85" workbookViewId="0"/>
  </sheetViews>
  <sheetFormatPr defaultRowHeight="18.75" x14ac:dyDescent="0.4"/>
  <cols>
    <col min="3" max="3" width="21" customWidth="1"/>
    <col min="8" max="8" width="15.5" customWidth="1"/>
    <col min="13" max="13" width="17.375" customWidth="1"/>
    <col min="14" max="14" width="11" customWidth="1"/>
    <col min="15" max="15" width="11.25" customWidth="1"/>
  </cols>
  <sheetData>
    <row r="2" spans="2:15" x14ac:dyDescent="0.4">
      <c r="B2" s="1" t="s">
        <v>0</v>
      </c>
      <c r="C2" s="1" t="s">
        <v>1</v>
      </c>
      <c r="D2" s="1" t="s">
        <v>6</v>
      </c>
      <c r="G2" t="s">
        <v>7</v>
      </c>
      <c r="H2" t="s">
        <v>1</v>
      </c>
      <c r="I2" t="s">
        <v>6</v>
      </c>
      <c r="L2" s="1" t="s">
        <v>7</v>
      </c>
      <c r="M2" s="1" t="s">
        <v>1</v>
      </c>
      <c r="N2" s="1" t="s">
        <v>17</v>
      </c>
      <c r="O2" s="1" t="s">
        <v>6</v>
      </c>
    </row>
    <row r="3" spans="2:15" x14ac:dyDescent="0.4">
      <c r="B3" s="2">
        <f>IF(COUNTIF(C3:D3,"&lt;&gt;"),ROW()-ROW(B$2),"")</f>
        <v>1</v>
      </c>
      <c r="C3" s="2" t="s">
        <v>2</v>
      </c>
      <c r="D3" s="2">
        <v>100</v>
      </c>
      <c r="H3" t="s">
        <v>8</v>
      </c>
      <c r="L3" s="2">
        <f>IF(COUNTIF(M3:O3,"&lt;&gt;"),ROW()-ROW(L$2),"")</f>
        <v>1</v>
      </c>
      <c r="M3" s="2" t="s">
        <v>8</v>
      </c>
      <c r="N3" s="2" t="s">
        <v>18</v>
      </c>
      <c r="O3" s="2">
        <v>100</v>
      </c>
    </row>
    <row r="4" spans="2:15" x14ac:dyDescent="0.4">
      <c r="B4" s="2">
        <f t="shared" ref="B4:B13" si="0">IF(COUNTIF(C4:D4,"&lt;&gt;"),ROW()-ROW(B$2),"")</f>
        <v>2</v>
      </c>
      <c r="C4" s="2" t="s">
        <v>3</v>
      </c>
      <c r="D4" s="2">
        <v>200</v>
      </c>
      <c r="H4" t="s">
        <v>9</v>
      </c>
      <c r="L4" s="2">
        <f t="shared" ref="L4:L22" si="1">IF(COUNTIF(M4:O4,"&lt;&gt;"),ROW()-ROW(L$2),"")</f>
        <v>2</v>
      </c>
      <c r="M4" s="2" t="s">
        <v>9</v>
      </c>
      <c r="N4" s="2" t="s">
        <v>19</v>
      </c>
      <c r="O4" s="2">
        <v>110</v>
      </c>
    </row>
    <row r="5" spans="2:15" x14ac:dyDescent="0.4">
      <c r="B5" s="2">
        <f t="shared" si="0"/>
        <v>3</v>
      </c>
      <c r="C5" s="2" t="s">
        <v>4</v>
      </c>
      <c r="D5" s="2">
        <v>300</v>
      </c>
      <c r="H5" t="s">
        <v>10</v>
      </c>
      <c r="L5" s="2">
        <f t="shared" si="1"/>
        <v>3</v>
      </c>
      <c r="M5" s="2" t="s">
        <v>10</v>
      </c>
      <c r="N5" s="2" t="s">
        <v>18</v>
      </c>
      <c r="O5" s="2">
        <v>120</v>
      </c>
    </row>
    <row r="6" spans="2:15" x14ac:dyDescent="0.4">
      <c r="B6" s="2">
        <f t="shared" si="0"/>
        <v>4</v>
      </c>
      <c r="C6" s="2" t="s">
        <v>5</v>
      </c>
      <c r="D6" s="2">
        <v>400</v>
      </c>
      <c r="H6" t="s">
        <v>9</v>
      </c>
      <c r="L6" s="2">
        <f t="shared" si="1"/>
        <v>4</v>
      </c>
      <c r="M6" s="2" t="s">
        <v>9</v>
      </c>
      <c r="N6" s="2" t="s">
        <v>19</v>
      </c>
      <c r="O6" s="2">
        <v>130</v>
      </c>
    </row>
    <row r="7" spans="2:15" x14ac:dyDescent="0.4">
      <c r="B7" s="2">
        <f t="shared" si="0"/>
        <v>5</v>
      </c>
      <c r="C7" s="2" t="str">
        <f>"フルーツ" &amp;CHAR(CODE(MID(C6,FIND("フルーツ",C6)+4,LEN(C6)-4))+1)</f>
        <v>フルーツB</v>
      </c>
      <c r="D7" s="2">
        <v>500</v>
      </c>
      <c r="H7" t="s">
        <v>11</v>
      </c>
      <c r="L7" s="2">
        <f t="shared" si="1"/>
        <v>5</v>
      </c>
      <c r="M7" s="2" t="s">
        <v>11</v>
      </c>
      <c r="N7" s="2" t="s">
        <v>18</v>
      </c>
      <c r="O7" s="2">
        <v>140</v>
      </c>
    </row>
    <row r="8" spans="2:15" x14ac:dyDescent="0.4">
      <c r="B8" s="2">
        <f t="shared" si="0"/>
        <v>6</v>
      </c>
      <c r="C8" s="2" t="str">
        <f t="shared" ref="C8:C10" si="2">"フルーツ" &amp;CHAR(CODE(MID(C7,FIND("フルーツ",C7)+4,LEN(C7)-4))+1)</f>
        <v>フルーツC</v>
      </c>
      <c r="D8" s="2">
        <v>600</v>
      </c>
      <c r="H8" t="s">
        <v>9</v>
      </c>
      <c r="L8" s="2">
        <f t="shared" si="1"/>
        <v>6</v>
      </c>
      <c r="M8" s="2" t="s">
        <v>9</v>
      </c>
      <c r="N8" s="2" t="s">
        <v>19</v>
      </c>
      <c r="O8" s="2">
        <v>150</v>
      </c>
    </row>
    <row r="9" spans="2:15" x14ac:dyDescent="0.4">
      <c r="B9" s="2">
        <f t="shared" si="0"/>
        <v>7</v>
      </c>
      <c r="C9" s="2" t="str">
        <f t="shared" si="2"/>
        <v>フルーツD</v>
      </c>
      <c r="D9" s="2">
        <v>700</v>
      </c>
      <c r="H9" t="s">
        <v>12</v>
      </c>
      <c r="L9" s="2">
        <f t="shared" si="1"/>
        <v>7</v>
      </c>
      <c r="M9" s="2" t="s">
        <v>12</v>
      </c>
      <c r="N9" s="2" t="s">
        <v>18</v>
      </c>
      <c r="O9" s="2">
        <v>160</v>
      </c>
    </row>
    <row r="10" spans="2:15" x14ac:dyDescent="0.4">
      <c r="B10" s="2">
        <f t="shared" si="0"/>
        <v>8</v>
      </c>
      <c r="C10" s="2" t="str">
        <f t="shared" si="2"/>
        <v>フルーツE</v>
      </c>
      <c r="D10" s="2">
        <v>800</v>
      </c>
      <c r="H10" t="s">
        <v>9</v>
      </c>
      <c r="L10" s="2">
        <f t="shared" si="1"/>
        <v>8</v>
      </c>
      <c r="M10" s="2" t="s">
        <v>9</v>
      </c>
      <c r="N10" s="2" t="s">
        <v>19</v>
      </c>
      <c r="O10" s="2">
        <v>170</v>
      </c>
    </row>
    <row r="11" spans="2:15" x14ac:dyDescent="0.4">
      <c r="B11" t="str">
        <f t="shared" si="0"/>
        <v/>
      </c>
      <c r="H11" t="s">
        <v>13</v>
      </c>
      <c r="L11" s="2">
        <f t="shared" si="1"/>
        <v>9</v>
      </c>
      <c r="M11" s="2" t="s">
        <v>13</v>
      </c>
      <c r="N11" s="2" t="s">
        <v>18</v>
      </c>
      <c r="O11" s="2">
        <v>180</v>
      </c>
    </row>
    <row r="12" spans="2:15" x14ac:dyDescent="0.4">
      <c r="B12" t="str">
        <f t="shared" si="0"/>
        <v/>
      </c>
      <c r="H12" t="s">
        <v>9</v>
      </c>
      <c r="L12" s="2">
        <f t="shared" si="1"/>
        <v>10</v>
      </c>
      <c r="M12" s="2" t="s">
        <v>9</v>
      </c>
      <c r="N12" s="2" t="s">
        <v>19</v>
      </c>
      <c r="O12" s="2">
        <v>190</v>
      </c>
    </row>
    <row r="13" spans="2:15" x14ac:dyDescent="0.4">
      <c r="B13" t="str">
        <f t="shared" si="0"/>
        <v/>
      </c>
      <c r="H13" t="s">
        <v>14</v>
      </c>
      <c r="L13" s="2">
        <f t="shared" si="1"/>
        <v>11</v>
      </c>
      <c r="M13" s="2" t="s">
        <v>14</v>
      </c>
      <c r="N13" s="2" t="s">
        <v>18</v>
      </c>
      <c r="O13" s="2">
        <v>200</v>
      </c>
    </row>
    <row r="14" spans="2:15" x14ac:dyDescent="0.4">
      <c r="H14" t="s">
        <v>9</v>
      </c>
      <c r="L14" s="2">
        <f t="shared" si="1"/>
        <v>12</v>
      </c>
      <c r="M14" s="2" t="s">
        <v>9</v>
      </c>
      <c r="N14" s="2" t="s">
        <v>19</v>
      </c>
      <c r="O14" s="2">
        <v>210</v>
      </c>
    </row>
    <row r="15" spans="2:15" x14ac:dyDescent="0.4">
      <c r="H15" t="s">
        <v>15</v>
      </c>
      <c r="L15" s="2">
        <f t="shared" si="1"/>
        <v>13</v>
      </c>
      <c r="M15" s="2" t="s">
        <v>15</v>
      </c>
      <c r="N15" s="2" t="s">
        <v>18</v>
      </c>
      <c r="O15" s="2">
        <v>220</v>
      </c>
    </row>
    <row r="16" spans="2:15" x14ac:dyDescent="0.4">
      <c r="H16" t="s">
        <v>9</v>
      </c>
      <c r="L16" s="2">
        <f t="shared" si="1"/>
        <v>14</v>
      </c>
      <c r="M16" s="2" t="s">
        <v>9</v>
      </c>
      <c r="N16" s="2" t="s">
        <v>19</v>
      </c>
      <c r="O16" s="2">
        <v>230</v>
      </c>
    </row>
    <row r="17" spans="8:15" x14ac:dyDescent="0.4">
      <c r="H17" t="s">
        <v>16</v>
      </c>
      <c r="L17" s="2">
        <f t="shared" si="1"/>
        <v>15</v>
      </c>
      <c r="M17" s="2" t="s">
        <v>16</v>
      </c>
      <c r="N17" s="2" t="s">
        <v>18</v>
      </c>
      <c r="O17" s="2">
        <v>240</v>
      </c>
    </row>
    <row r="18" spans="8:15" x14ac:dyDescent="0.4">
      <c r="L18" s="2">
        <f t="shared" si="1"/>
        <v>16</v>
      </c>
      <c r="M18" s="2"/>
      <c r="N18" s="2" t="s">
        <v>19</v>
      </c>
      <c r="O18" s="2">
        <v>250</v>
      </c>
    </row>
    <row r="19" spans="8:15" x14ac:dyDescent="0.4">
      <c r="L19" t="str">
        <f t="shared" si="1"/>
        <v/>
      </c>
    </row>
    <row r="20" spans="8:15" x14ac:dyDescent="0.4">
      <c r="L20" t="str">
        <f t="shared" si="1"/>
        <v/>
      </c>
    </row>
    <row r="21" spans="8:15" x14ac:dyDescent="0.4">
      <c r="L21" t="str">
        <f t="shared" si="1"/>
        <v/>
      </c>
    </row>
    <row r="22" spans="8:15" x14ac:dyDescent="0.4">
      <c r="L22" t="str">
        <f t="shared" si="1"/>
        <v/>
      </c>
    </row>
  </sheetData>
  <phoneticPr fontId="1"/>
  <pageMargins left="0.7" right="0.7" top="0.75" bottom="0.75" header="0.3" footer="0.3"/>
  <pageSetup paperSize="9" scale="4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6E8-E2A6-4C0A-BC10-FCB25685F34F}">
  <sheetPr codeName="Sheet2"/>
  <dimension ref="B2:I17"/>
  <sheetViews>
    <sheetView view="pageBreakPreview" zoomScale="85" zoomScaleNormal="100" zoomScaleSheetLayoutView="85" workbookViewId="0"/>
  </sheetViews>
  <sheetFormatPr defaultRowHeight="18.75" x14ac:dyDescent="0.4"/>
  <cols>
    <col min="3" max="3" width="21" customWidth="1"/>
    <col min="8" max="8" width="11.875" customWidth="1"/>
  </cols>
  <sheetData>
    <row r="2" spans="2:9" x14ac:dyDescent="0.4">
      <c r="B2" s="1" t="s">
        <v>0</v>
      </c>
      <c r="C2" s="1" t="s">
        <v>1</v>
      </c>
      <c r="D2" s="1" t="s">
        <v>6</v>
      </c>
      <c r="G2" s="4" t="s">
        <v>7</v>
      </c>
      <c r="H2" s="5" t="s">
        <v>1</v>
      </c>
      <c r="I2" s="6" t="s">
        <v>6</v>
      </c>
    </row>
    <row r="3" spans="2:9" x14ac:dyDescent="0.4">
      <c r="B3" s="2">
        <f>IF(COUNTIF(C3:D3,"&lt;&gt;"),ROW()-ROW(B$2),"")</f>
        <v>1</v>
      </c>
      <c r="C3" s="2" t="s">
        <v>2</v>
      </c>
      <c r="D3" s="2">
        <v>100</v>
      </c>
      <c r="G3" s="7"/>
      <c r="H3" s="8" t="str">
        <f ca="1">IF(MOD(ROW(),2) = MOD(ROW($C$3),2),
      INDIRECT(
                        ADDRESS(ROW($C$3) + (ROW()-ROW($C$3))/2,
                        COLUMN($C$3))
                       ),
      "")</f>
        <v>りんご</v>
      </c>
      <c r="I3" s="9"/>
    </row>
    <row r="4" spans="2:9" x14ac:dyDescent="0.4">
      <c r="B4" s="2">
        <f t="shared" ref="B4:B13" si="0">IF(COUNTIF(C4:D4,"&lt;&gt;"),ROW()-ROW(B$2),"")</f>
        <v>2</v>
      </c>
      <c r="C4" s="2" t="s">
        <v>3</v>
      </c>
      <c r="D4" s="2">
        <v>200</v>
      </c>
      <c r="G4" s="7"/>
      <c r="H4" s="8" t="str">
        <f t="shared" ref="H4:H17" ca="1" si="1">IF(MOD(ROW(),2) = MOD(ROW($C$3),2),
      INDIRECT(
                        ADDRESS(ROW($C$3) + (ROW()-ROW($C$3))/2,
                        COLUMN($C$3))
                       ),
      "")</f>
        <v/>
      </c>
      <c r="I4" s="9"/>
    </row>
    <row r="5" spans="2:9" x14ac:dyDescent="0.4">
      <c r="B5" s="2">
        <f t="shared" si="0"/>
        <v>3</v>
      </c>
      <c r="C5" s="2" t="s">
        <v>4</v>
      </c>
      <c r="D5" s="2">
        <v>300</v>
      </c>
      <c r="G5" s="7"/>
      <c r="H5" s="8" t="str">
        <f t="shared" ca="1" si="1"/>
        <v>みかん</v>
      </c>
      <c r="I5" s="9"/>
    </row>
    <row r="6" spans="2:9" x14ac:dyDescent="0.4">
      <c r="B6" s="2">
        <f t="shared" si="0"/>
        <v>4</v>
      </c>
      <c r="C6" s="2" t="s">
        <v>5</v>
      </c>
      <c r="D6" s="2">
        <v>400</v>
      </c>
      <c r="G6" s="7"/>
      <c r="H6" s="8" t="str">
        <f t="shared" ca="1" si="1"/>
        <v/>
      </c>
      <c r="I6" s="9"/>
    </row>
    <row r="7" spans="2:9" x14ac:dyDescent="0.4">
      <c r="B7" s="2">
        <f t="shared" si="0"/>
        <v>5</v>
      </c>
      <c r="C7" s="2" t="str">
        <f>"フルーツ" &amp;CHAR(CODE(MID(C6,FIND("フルーツ",C6)+4,LEN(C6)-4))+1)</f>
        <v>フルーツB</v>
      </c>
      <c r="D7" s="2">
        <v>500</v>
      </c>
      <c r="G7" s="7"/>
      <c r="H7" s="8" t="str">
        <f t="shared" ca="1" si="1"/>
        <v>ぶどう</v>
      </c>
      <c r="I7" s="9"/>
    </row>
    <row r="8" spans="2:9" x14ac:dyDescent="0.4">
      <c r="B8" s="2">
        <f t="shared" si="0"/>
        <v>6</v>
      </c>
      <c r="C8" s="2" t="str">
        <f t="shared" ref="C8:C10" si="2">"フルーツ" &amp;CHAR(CODE(MID(C7,FIND("フルーツ",C7)+4,LEN(C7)-4))+1)</f>
        <v>フルーツC</v>
      </c>
      <c r="D8" s="2">
        <v>600</v>
      </c>
      <c r="G8" s="7"/>
      <c r="H8" s="8" t="str">
        <f t="shared" ca="1" si="1"/>
        <v/>
      </c>
      <c r="I8" s="9"/>
    </row>
    <row r="9" spans="2:9" x14ac:dyDescent="0.4">
      <c r="B9" s="2">
        <f t="shared" si="0"/>
        <v>7</v>
      </c>
      <c r="C9" s="2" t="str">
        <f t="shared" si="2"/>
        <v>フルーツD</v>
      </c>
      <c r="D9" s="2">
        <v>700</v>
      </c>
      <c r="G9" s="7"/>
      <c r="H9" s="8" t="str">
        <f t="shared" ca="1" si="1"/>
        <v>フルーツA</v>
      </c>
      <c r="I9" s="9"/>
    </row>
    <row r="10" spans="2:9" x14ac:dyDescent="0.4">
      <c r="B10" s="2">
        <f t="shared" si="0"/>
        <v>8</v>
      </c>
      <c r="C10" s="2" t="str">
        <f t="shared" si="2"/>
        <v>フルーツE</v>
      </c>
      <c r="D10" s="2">
        <v>800</v>
      </c>
      <c r="G10" s="7"/>
      <c r="H10" s="8" t="str">
        <f t="shared" ca="1" si="1"/>
        <v/>
      </c>
      <c r="I10" s="9"/>
    </row>
    <row r="11" spans="2:9" x14ac:dyDescent="0.4">
      <c r="B11" t="str">
        <f t="shared" si="0"/>
        <v/>
      </c>
      <c r="G11" s="7"/>
      <c r="H11" s="8" t="str">
        <f t="shared" ca="1" si="1"/>
        <v>フルーツB</v>
      </c>
      <c r="I11" s="9"/>
    </row>
    <row r="12" spans="2:9" x14ac:dyDescent="0.4">
      <c r="B12" t="str">
        <f t="shared" si="0"/>
        <v/>
      </c>
      <c r="G12" s="7"/>
      <c r="H12" s="8" t="str">
        <f t="shared" ca="1" si="1"/>
        <v/>
      </c>
      <c r="I12" s="9"/>
    </row>
    <row r="13" spans="2:9" x14ac:dyDescent="0.4">
      <c r="B13" t="str">
        <f t="shared" si="0"/>
        <v/>
      </c>
      <c r="G13" s="7"/>
      <c r="H13" s="8" t="str">
        <f t="shared" ca="1" si="1"/>
        <v>フルーツC</v>
      </c>
      <c r="I13" s="9"/>
    </row>
    <row r="14" spans="2:9" x14ac:dyDescent="0.4">
      <c r="G14" s="7"/>
      <c r="H14" s="8" t="str">
        <f t="shared" ca="1" si="1"/>
        <v/>
      </c>
      <c r="I14" s="9"/>
    </row>
    <row r="15" spans="2:9" x14ac:dyDescent="0.4">
      <c r="G15" s="7"/>
      <c r="H15" s="8" t="str">
        <f t="shared" ca="1" si="1"/>
        <v>フルーツD</v>
      </c>
      <c r="I15" s="9"/>
    </row>
    <row r="16" spans="2:9" x14ac:dyDescent="0.4">
      <c r="G16" s="7"/>
      <c r="H16" s="8" t="str">
        <f t="shared" ca="1" si="1"/>
        <v/>
      </c>
      <c r="I16" s="9"/>
    </row>
    <row r="17" spans="7:9" x14ac:dyDescent="0.4">
      <c r="G17" s="10"/>
      <c r="H17" s="11" t="str">
        <f t="shared" ca="1" si="1"/>
        <v>フルーツE</v>
      </c>
      <c r="I17" s="12"/>
    </row>
  </sheetData>
  <phoneticPr fontId="1"/>
  <pageMargins left="0.7" right="0.7" top="0.75" bottom="0.75" header="0.3" footer="0.3"/>
  <pageSetup paperSize="9" scale="5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A57C0-4F23-42F5-8237-1ED43654F1B6}">
  <sheetPr codeName="Sheet4"/>
  <dimension ref="B2:N22"/>
  <sheetViews>
    <sheetView view="pageBreakPreview" zoomScale="85" zoomScaleNormal="100" zoomScaleSheetLayoutView="85" workbookViewId="0"/>
  </sheetViews>
  <sheetFormatPr defaultRowHeight="18.75" x14ac:dyDescent="0.4"/>
  <cols>
    <col min="3" max="3" width="21" customWidth="1"/>
    <col min="8" max="8" width="15.5" customWidth="1"/>
    <col min="13" max="13" width="17.375" customWidth="1"/>
    <col min="14" max="14" width="11" customWidth="1"/>
    <col min="15" max="15" width="11.25" customWidth="1"/>
  </cols>
  <sheetData>
    <row r="2" spans="2:14" x14ac:dyDescent="0.4">
      <c r="B2" s="1" t="s">
        <v>0</v>
      </c>
      <c r="C2" s="1" t="s">
        <v>1</v>
      </c>
      <c r="D2" s="1" t="s">
        <v>6</v>
      </c>
      <c r="G2" t="s">
        <v>7</v>
      </c>
      <c r="H2" t="s">
        <v>1</v>
      </c>
      <c r="I2" t="s">
        <v>6</v>
      </c>
      <c r="L2" s="4" t="s">
        <v>7</v>
      </c>
      <c r="M2" s="5" t="s">
        <v>1</v>
      </c>
      <c r="N2" s="6" t="s">
        <v>6</v>
      </c>
    </row>
    <row r="3" spans="2:14" x14ac:dyDescent="0.4">
      <c r="B3" s="2">
        <f>IF(COUNTIF(C3:D3,"&lt;&gt;"),ROW()-ROW(B$2),"")</f>
        <v>1</v>
      </c>
      <c r="C3" s="2" t="s">
        <v>2</v>
      </c>
      <c r="D3" s="2">
        <v>100</v>
      </c>
      <c r="G3">
        <v>1</v>
      </c>
      <c r="L3" s="7">
        <v>1</v>
      </c>
      <c r="M3" s="8" t="str">
        <f>IF(MOD(ROW(),2) = MOD(ROW($C$3),2),
     VLOOKUP(
                       (L3 - 1)/2 + 1,
                       $B$3:$C$10,
                       2),
      "")</f>
        <v>りんご</v>
      </c>
      <c r="N3" s="9"/>
    </row>
    <row r="4" spans="2:14" x14ac:dyDescent="0.4">
      <c r="B4" s="2">
        <f t="shared" ref="B4:B13" si="0">IF(COUNTIF(C4:D4,"&lt;&gt;"),ROW()-ROW(B$2),"")</f>
        <v>2</v>
      </c>
      <c r="C4" s="2" t="s">
        <v>3</v>
      </c>
      <c r="D4" s="2">
        <v>200</v>
      </c>
      <c r="G4">
        <v>2</v>
      </c>
      <c r="L4" s="7">
        <v>2</v>
      </c>
      <c r="M4" s="8" t="str">
        <f t="shared" ref="M4:M18" si="1">IF(MOD(ROW(),2) = MOD(ROW($C$3),2),
     VLOOKUP(
                       (L4 - 1)/2 + 1,
                       $B$3:$C$10,
                       2),
      "")</f>
        <v/>
      </c>
      <c r="N4" s="9"/>
    </row>
    <row r="5" spans="2:14" x14ac:dyDescent="0.4">
      <c r="B5" s="2">
        <f t="shared" si="0"/>
        <v>3</v>
      </c>
      <c r="C5" s="2" t="s">
        <v>4</v>
      </c>
      <c r="D5" s="2">
        <v>300</v>
      </c>
      <c r="G5">
        <v>3</v>
      </c>
      <c r="L5" s="7">
        <v>3</v>
      </c>
      <c r="M5" s="8" t="str">
        <f t="shared" si="1"/>
        <v>みかん</v>
      </c>
      <c r="N5" s="9"/>
    </row>
    <row r="6" spans="2:14" x14ac:dyDescent="0.4">
      <c r="B6" s="2">
        <f t="shared" si="0"/>
        <v>4</v>
      </c>
      <c r="C6" s="2" t="s">
        <v>5</v>
      </c>
      <c r="D6" s="2">
        <v>400</v>
      </c>
      <c r="G6">
        <v>4</v>
      </c>
      <c r="L6" s="7">
        <v>4</v>
      </c>
      <c r="M6" s="8" t="str">
        <f t="shared" si="1"/>
        <v/>
      </c>
      <c r="N6" s="9"/>
    </row>
    <row r="7" spans="2:14" x14ac:dyDescent="0.4">
      <c r="B7" s="2">
        <f t="shared" si="0"/>
        <v>5</v>
      </c>
      <c r="C7" s="2" t="str">
        <f>"フルーツ" &amp;CHAR(CODE(MID(C6,FIND("フルーツ",C6)+4,LEN(C6)-4))+1)</f>
        <v>フルーツB</v>
      </c>
      <c r="D7" s="2">
        <v>500</v>
      </c>
      <c r="G7">
        <v>5</v>
      </c>
      <c r="L7" s="7">
        <v>5</v>
      </c>
      <c r="M7" s="8" t="str">
        <f t="shared" si="1"/>
        <v>ぶどう</v>
      </c>
      <c r="N7" s="9"/>
    </row>
    <row r="8" spans="2:14" x14ac:dyDescent="0.4">
      <c r="B8" s="2">
        <f t="shared" si="0"/>
        <v>6</v>
      </c>
      <c r="C8" s="2" t="str">
        <f t="shared" ref="C8:C10" si="2">"フルーツ" &amp;CHAR(CODE(MID(C7,FIND("フルーツ",C7)+4,LEN(C7)-4))+1)</f>
        <v>フルーツC</v>
      </c>
      <c r="D8" s="2">
        <v>600</v>
      </c>
      <c r="G8">
        <v>6</v>
      </c>
      <c r="L8" s="7">
        <v>6</v>
      </c>
      <c r="M8" s="8" t="str">
        <f t="shared" si="1"/>
        <v/>
      </c>
      <c r="N8" s="9"/>
    </row>
    <row r="9" spans="2:14" x14ac:dyDescent="0.4">
      <c r="B9" s="2">
        <f t="shared" si="0"/>
        <v>7</v>
      </c>
      <c r="C9" s="2" t="str">
        <f t="shared" si="2"/>
        <v>フルーツD</v>
      </c>
      <c r="D9" s="2">
        <v>700</v>
      </c>
      <c r="G9">
        <v>7</v>
      </c>
      <c r="L9" s="7">
        <v>7</v>
      </c>
      <c r="M9" s="8" t="str">
        <f t="shared" si="1"/>
        <v>フルーツA</v>
      </c>
      <c r="N9" s="9"/>
    </row>
    <row r="10" spans="2:14" x14ac:dyDescent="0.4">
      <c r="B10" s="2">
        <f t="shared" si="0"/>
        <v>8</v>
      </c>
      <c r="C10" s="2" t="str">
        <f t="shared" si="2"/>
        <v>フルーツE</v>
      </c>
      <c r="D10" s="2">
        <v>800</v>
      </c>
      <c r="G10">
        <v>8</v>
      </c>
      <c r="L10" s="7">
        <v>8</v>
      </c>
      <c r="M10" s="8" t="str">
        <f t="shared" si="1"/>
        <v/>
      </c>
      <c r="N10" s="9"/>
    </row>
    <row r="11" spans="2:14" x14ac:dyDescent="0.4">
      <c r="B11" t="str">
        <f t="shared" si="0"/>
        <v/>
      </c>
      <c r="G11">
        <v>9</v>
      </c>
      <c r="L11" s="7">
        <v>9</v>
      </c>
      <c r="M11" s="8" t="str">
        <f t="shared" si="1"/>
        <v>フルーツB</v>
      </c>
      <c r="N11" s="9"/>
    </row>
    <row r="12" spans="2:14" x14ac:dyDescent="0.4">
      <c r="B12" t="str">
        <f t="shared" si="0"/>
        <v/>
      </c>
      <c r="G12">
        <v>10</v>
      </c>
      <c r="L12" s="7">
        <v>10</v>
      </c>
      <c r="M12" s="8" t="str">
        <f t="shared" si="1"/>
        <v/>
      </c>
      <c r="N12" s="9"/>
    </row>
    <row r="13" spans="2:14" x14ac:dyDescent="0.4">
      <c r="B13" t="str">
        <f t="shared" si="0"/>
        <v/>
      </c>
      <c r="G13">
        <v>11</v>
      </c>
      <c r="L13" s="7">
        <v>11</v>
      </c>
      <c r="M13" s="8" t="str">
        <f t="shared" si="1"/>
        <v>フルーツC</v>
      </c>
      <c r="N13" s="9"/>
    </row>
    <row r="14" spans="2:14" x14ac:dyDescent="0.4">
      <c r="G14">
        <v>12</v>
      </c>
      <c r="L14" s="7">
        <v>12</v>
      </c>
      <c r="M14" s="8" t="str">
        <f t="shared" si="1"/>
        <v/>
      </c>
      <c r="N14" s="9"/>
    </row>
    <row r="15" spans="2:14" x14ac:dyDescent="0.4">
      <c r="G15">
        <v>13</v>
      </c>
      <c r="L15" s="7">
        <v>13</v>
      </c>
      <c r="M15" s="8" t="str">
        <f t="shared" si="1"/>
        <v>フルーツD</v>
      </c>
      <c r="N15" s="9"/>
    </row>
    <row r="16" spans="2:14" x14ac:dyDescent="0.4">
      <c r="G16">
        <v>14</v>
      </c>
      <c r="L16" s="7">
        <v>14</v>
      </c>
      <c r="M16" s="8" t="str">
        <f t="shared" si="1"/>
        <v/>
      </c>
      <c r="N16" s="9"/>
    </row>
    <row r="17" spans="7:14" x14ac:dyDescent="0.4">
      <c r="G17">
        <v>15</v>
      </c>
      <c r="L17" s="7">
        <v>15</v>
      </c>
      <c r="M17" s="8" t="str">
        <f t="shared" si="1"/>
        <v>フルーツE</v>
      </c>
      <c r="N17" s="9"/>
    </row>
    <row r="18" spans="7:14" x14ac:dyDescent="0.4">
      <c r="G18">
        <v>16</v>
      </c>
      <c r="L18" s="10">
        <v>16</v>
      </c>
      <c r="M18" s="11" t="str">
        <f t="shared" si="1"/>
        <v/>
      </c>
      <c r="N18" s="12"/>
    </row>
    <row r="22" spans="7:14" x14ac:dyDescent="0.4">
      <c r="L22" t="str">
        <f t="shared" ref="L22" si="3">IF(COUNTIF(M22:O22,"&lt;&gt;"),ROW()-ROW(L$2),"")</f>
        <v/>
      </c>
    </row>
  </sheetData>
  <phoneticPr fontId="1"/>
  <pageMargins left="0.7" right="0.7" top="0.75" bottom="0.75" header="0.3" footer="0.3"/>
  <pageSetup paperSize="9" scale="4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BE9F8-6A2C-40C9-8922-2BA6C47FCC7D}">
  <sheetPr codeName="Sheet5"/>
  <dimension ref="A2:I42"/>
  <sheetViews>
    <sheetView view="pageBreakPreview" zoomScale="85" zoomScaleNormal="85" zoomScaleSheetLayoutView="85" workbookViewId="0"/>
  </sheetViews>
  <sheetFormatPr defaultRowHeight="18.75" x14ac:dyDescent="0.4"/>
  <cols>
    <col min="1" max="1" width="15.875" bestFit="1" customWidth="1"/>
    <col min="3" max="3" width="21" customWidth="1"/>
    <col min="8" max="8" width="15.5" customWidth="1"/>
    <col min="13" max="13" width="17.375" customWidth="1"/>
    <col min="14" max="14" width="11" customWidth="1"/>
    <col min="15" max="15" width="11.25" customWidth="1"/>
  </cols>
  <sheetData>
    <row r="2" spans="1:9" x14ac:dyDescent="0.4">
      <c r="B2" s="1" t="s">
        <v>0</v>
      </c>
      <c r="C2" s="1" t="s">
        <v>1</v>
      </c>
      <c r="D2" s="1" t="s">
        <v>6</v>
      </c>
      <c r="G2" s="4" t="s">
        <v>7</v>
      </c>
      <c r="H2" s="5" t="s">
        <v>1</v>
      </c>
      <c r="I2" s="6" t="s">
        <v>6</v>
      </c>
    </row>
    <row r="3" spans="1:9" x14ac:dyDescent="0.4">
      <c r="B3" s="2">
        <f>IF(COUNTIF(C3:D3,"&lt;&gt;"),ROW()-ROW(B$2),"")</f>
        <v>1</v>
      </c>
      <c r="C3" s="2" t="s">
        <v>2</v>
      </c>
      <c r="D3" s="2">
        <v>100</v>
      </c>
      <c r="G3" s="7"/>
      <c r="H3" s="8" t="str">
        <f>insertOneRow($C$3:$C$10,$H$3)</f>
        <v>りんご</v>
      </c>
      <c r="I3" s="9"/>
    </row>
    <row r="4" spans="1:9" x14ac:dyDescent="0.4">
      <c r="B4" s="2">
        <f t="shared" ref="B4:B13" si="0">IF(COUNTIF(C4:D4,"&lt;&gt;"),ROW()-ROW(B$2),"")</f>
        <v>2</v>
      </c>
      <c r="C4" s="2" t="s">
        <v>3</v>
      </c>
      <c r="D4" s="2">
        <v>200</v>
      </c>
      <c r="G4" s="7"/>
      <c r="H4" s="8" t="str">
        <f t="shared" ref="H4:H12" si="1">insertOneRow($C$3:$C$10,$H$3)</f>
        <v/>
      </c>
      <c r="I4" s="9"/>
    </row>
    <row r="5" spans="1:9" x14ac:dyDescent="0.4">
      <c r="B5" s="2">
        <f t="shared" si="0"/>
        <v>3</v>
      </c>
      <c r="C5" s="2" t="s">
        <v>4</v>
      </c>
      <c r="D5" s="2">
        <v>300</v>
      </c>
      <c r="G5" s="7"/>
      <c r="H5" s="8" t="str">
        <f t="shared" si="1"/>
        <v>みかん</v>
      </c>
      <c r="I5" s="9"/>
    </row>
    <row r="6" spans="1:9" x14ac:dyDescent="0.4">
      <c r="B6" s="2">
        <f t="shared" si="0"/>
        <v>4</v>
      </c>
      <c r="C6" s="2" t="s">
        <v>5</v>
      </c>
      <c r="D6" s="2">
        <v>400</v>
      </c>
      <c r="G6" s="7"/>
      <c r="H6" s="8" t="str">
        <f t="shared" si="1"/>
        <v/>
      </c>
      <c r="I6" s="9"/>
    </row>
    <row r="7" spans="1:9" x14ac:dyDescent="0.4">
      <c r="B7" s="2">
        <f t="shared" si="0"/>
        <v>5</v>
      </c>
      <c r="C7" s="2" t="str">
        <f>"フルーツ" &amp;CHAR(CODE(MID(C6,FIND("フルーツ",C6)+4,LEN(C6)-4))+1)</f>
        <v>フルーツB</v>
      </c>
      <c r="D7" s="2">
        <v>500</v>
      </c>
      <c r="G7" s="7"/>
      <c r="H7" s="8" t="str">
        <f t="shared" si="1"/>
        <v>ぶどう</v>
      </c>
      <c r="I7" s="9"/>
    </row>
    <row r="8" spans="1:9" x14ac:dyDescent="0.4">
      <c r="B8" s="2">
        <f t="shared" si="0"/>
        <v>6</v>
      </c>
      <c r="C8" s="2" t="str">
        <f t="shared" ref="C8:C10" si="2">"フルーツ" &amp;CHAR(CODE(MID(C7,FIND("フルーツ",C7)+4,LEN(C7)-4))+1)</f>
        <v>フルーツC</v>
      </c>
      <c r="D8" s="2">
        <v>600</v>
      </c>
      <c r="G8" s="7"/>
      <c r="H8" s="8" t="str">
        <f t="shared" si="1"/>
        <v/>
      </c>
      <c r="I8" s="9"/>
    </row>
    <row r="9" spans="1:9" x14ac:dyDescent="0.4">
      <c r="B9" s="2">
        <f t="shared" si="0"/>
        <v>7</v>
      </c>
      <c r="C9" s="2" t="str">
        <f t="shared" si="2"/>
        <v>フルーツD</v>
      </c>
      <c r="D9" s="2">
        <v>700</v>
      </c>
      <c r="G9" s="7"/>
      <c r="H9" s="8" t="str">
        <f t="shared" si="1"/>
        <v>フルーツA</v>
      </c>
      <c r="I9" s="9"/>
    </row>
    <row r="10" spans="1:9" x14ac:dyDescent="0.4">
      <c r="B10" s="2">
        <f t="shared" si="0"/>
        <v>8</v>
      </c>
      <c r="C10" s="2" t="str">
        <f t="shared" si="2"/>
        <v>フルーツE</v>
      </c>
      <c r="D10" s="2">
        <v>800</v>
      </c>
      <c r="G10" s="7"/>
      <c r="H10" s="8" t="str">
        <f t="shared" si="1"/>
        <v/>
      </c>
      <c r="I10" s="9"/>
    </row>
    <row r="11" spans="1:9" x14ac:dyDescent="0.4">
      <c r="B11" t="str">
        <f t="shared" si="0"/>
        <v/>
      </c>
      <c r="G11" s="7"/>
      <c r="H11" s="8" t="str">
        <f t="shared" si="1"/>
        <v>フルーツB</v>
      </c>
      <c r="I11" s="9"/>
    </row>
    <row r="12" spans="1:9" x14ac:dyDescent="0.4">
      <c r="B12" t="str">
        <f t="shared" si="0"/>
        <v/>
      </c>
      <c r="G12" s="7"/>
      <c r="H12" s="8" t="str">
        <f t="shared" si="1"/>
        <v/>
      </c>
      <c r="I12" s="9"/>
    </row>
    <row r="13" spans="1:9" x14ac:dyDescent="0.4">
      <c r="B13" t="str">
        <f t="shared" si="0"/>
        <v/>
      </c>
      <c r="G13" s="7"/>
      <c r="H13" s="8" t="str">
        <f>insertOneRow($C$3:$C$10,$H$3)</f>
        <v>フルーツC</v>
      </c>
      <c r="I13" s="9"/>
    </row>
    <row r="14" spans="1:9" x14ac:dyDescent="0.4">
      <c r="A14" s="3"/>
      <c r="G14" s="7"/>
      <c r="H14" s="8" t="str">
        <f>insertOneRow($C$3:$C$10,$H$3)</f>
        <v/>
      </c>
      <c r="I14" s="9"/>
    </row>
    <row r="15" spans="1:9" x14ac:dyDescent="0.4">
      <c r="B15" s="4" t="s">
        <v>7</v>
      </c>
      <c r="C15" s="5" t="s">
        <v>1</v>
      </c>
      <c r="D15" s="6" t="s">
        <v>6</v>
      </c>
      <c r="G15" s="7"/>
      <c r="H15" s="8" t="str">
        <f>insertOneRow($C$3:$C$10,$H$3)</f>
        <v>フルーツD</v>
      </c>
      <c r="I15" s="9"/>
    </row>
    <row r="16" spans="1:9" x14ac:dyDescent="0.4">
      <c r="B16" s="7"/>
      <c r="C16" s="8" t="str">
        <f t="shared" ref="C16:C30" si="3">insertOneRow($C$3:$C$10,$C$16)</f>
        <v>りんご</v>
      </c>
      <c r="D16" s="9"/>
      <c r="G16" s="7"/>
      <c r="H16" s="8" t="str">
        <f>insertOneRow($C$3:$C$10,$H$3)</f>
        <v/>
      </c>
      <c r="I16" s="9"/>
    </row>
    <row r="17" spans="2:9" x14ac:dyDescent="0.4">
      <c r="B17" s="7"/>
      <c r="C17" s="8" t="str">
        <f t="shared" si="3"/>
        <v/>
      </c>
      <c r="D17" s="9"/>
      <c r="G17" s="10"/>
      <c r="H17" s="11" t="str">
        <f>insertOneRow($C$3:$C$10,$H$3)</f>
        <v>フルーツE</v>
      </c>
      <c r="I17" s="12"/>
    </row>
    <row r="18" spans="2:9" x14ac:dyDescent="0.4">
      <c r="B18" s="7"/>
      <c r="C18" s="8" t="str">
        <f t="shared" si="3"/>
        <v>みかん</v>
      </c>
      <c r="D18" s="9"/>
    </row>
    <row r="19" spans="2:9" x14ac:dyDescent="0.4">
      <c r="B19" s="7"/>
      <c r="C19" s="8" t="str">
        <f t="shared" si="3"/>
        <v/>
      </c>
      <c r="D19" s="9"/>
    </row>
    <row r="20" spans="2:9" x14ac:dyDescent="0.4">
      <c r="B20" s="7"/>
      <c r="C20" s="8" t="str">
        <f t="shared" si="3"/>
        <v>ぶどう</v>
      </c>
      <c r="D20" s="9"/>
    </row>
    <row r="21" spans="2:9" x14ac:dyDescent="0.4">
      <c r="B21" s="7"/>
      <c r="C21" s="8" t="str">
        <f t="shared" si="3"/>
        <v/>
      </c>
      <c r="D21" s="9"/>
    </row>
    <row r="22" spans="2:9" x14ac:dyDescent="0.4">
      <c r="B22" s="7"/>
      <c r="C22" s="8" t="str">
        <f t="shared" si="3"/>
        <v>フルーツA</v>
      </c>
      <c r="D22" s="9"/>
      <c r="H22" t="str">
        <f t="shared" ref="H22:H27" si="4">insertOneRow($C$3:$C$10,$H$3)</f>
        <v/>
      </c>
    </row>
    <row r="23" spans="2:9" x14ac:dyDescent="0.4">
      <c r="B23" s="7"/>
      <c r="C23" s="8" t="str">
        <f t="shared" si="3"/>
        <v/>
      </c>
      <c r="D23" s="9"/>
      <c r="H23" t="str">
        <f t="shared" si="4"/>
        <v/>
      </c>
    </row>
    <row r="24" spans="2:9" x14ac:dyDescent="0.4">
      <c r="B24" s="7"/>
      <c r="C24" s="8" t="str">
        <f t="shared" si="3"/>
        <v>フルーツB</v>
      </c>
      <c r="D24" s="9"/>
      <c r="H24" t="str">
        <f t="shared" si="4"/>
        <v/>
      </c>
    </row>
    <row r="25" spans="2:9" x14ac:dyDescent="0.4">
      <c r="B25" s="7"/>
      <c r="C25" s="8" t="str">
        <f t="shared" si="3"/>
        <v/>
      </c>
      <c r="D25" s="9"/>
      <c r="H25" t="str">
        <f t="shared" si="4"/>
        <v/>
      </c>
    </row>
    <row r="26" spans="2:9" x14ac:dyDescent="0.4">
      <c r="B26" s="7"/>
      <c r="C26" s="8" t="str">
        <f t="shared" si="3"/>
        <v>フルーツC</v>
      </c>
      <c r="D26" s="9"/>
      <c r="H26" t="str">
        <f t="shared" si="4"/>
        <v/>
      </c>
    </row>
    <row r="27" spans="2:9" x14ac:dyDescent="0.4">
      <c r="B27" s="7"/>
      <c r="C27" s="8" t="str">
        <f t="shared" si="3"/>
        <v/>
      </c>
      <c r="D27" s="9"/>
      <c r="H27" t="str">
        <f t="shared" si="4"/>
        <v/>
      </c>
    </row>
    <row r="28" spans="2:9" x14ac:dyDescent="0.4">
      <c r="B28" s="7"/>
      <c r="C28" s="8" t="str">
        <f t="shared" si="3"/>
        <v>フルーツD</v>
      </c>
      <c r="D28" s="9"/>
    </row>
    <row r="29" spans="2:9" x14ac:dyDescent="0.4">
      <c r="B29" s="7"/>
      <c r="C29" s="8" t="str">
        <f t="shared" si="3"/>
        <v/>
      </c>
      <c r="D29" s="9"/>
    </row>
    <row r="30" spans="2:9" x14ac:dyDescent="0.4">
      <c r="B30" s="10"/>
      <c r="C30" s="11" t="str">
        <f t="shared" si="3"/>
        <v>フルーツE</v>
      </c>
      <c r="D30" s="12"/>
    </row>
    <row r="38" spans="3:3" x14ac:dyDescent="0.4">
      <c r="C38" t="str">
        <f>insertOneRow($C$3:$C$10,$C$16)</f>
        <v/>
      </c>
    </row>
    <row r="39" spans="3:3" x14ac:dyDescent="0.4">
      <c r="C39" t="str">
        <f>insertOneRow($C$3:$C$10,$C$16)</f>
        <v/>
      </c>
    </row>
    <row r="40" spans="3:3" x14ac:dyDescent="0.4">
      <c r="C40" t="str">
        <f>insertOneRow($C$3:$C$10,$C$16)</f>
        <v/>
      </c>
    </row>
    <row r="41" spans="3:3" x14ac:dyDescent="0.4">
      <c r="C41" t="str">
        <f>insertOneRow($C$3:$C$10,$C$16)</f>
        <v/>
      </c>
    </row>
    <row r="42" spans="3:3" x14ac:dyDescent="0.4">
      <c r="C42" t="str">
        <f>insertOneRow($C$3:$C$10,$C$16)</f>
        <v/>
      </c>
    </row>
  </sheetData>
  <phoneticPr fontId="1"/>
  <pageMargins left="0.7" right="0.7" top="0.75" bottom="0.75" header="0.3" footer="0.3"/>
  <pageSetup paperSize="9" scale="4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base</vt:lpstr>
      <vt:lpstr>説明用</vt:lpstr>
      <vt:lpstr>関数で_1</vt:lpstr>
      <vt:lpstr>関数で_2</vt:lpstr>
      <vt:lpstr>VBAで</vt:lpstr>
      <vt:lpstr>VBAで!Print_Area</vt:lpstr>
      <vt:lpstr>関数で_1!Print_Area</vt:lpstr>
      <vt:lpstr>関数で_2!Print_Area</vt:lpstr>
      <vt:lpstr>説明用!Print_Area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2019-12-03T11:38:33Z</dcterms:created>
  <dcterms:modified xsi:type="dcterms:W3CDTF">2019-12-03T11:39:57Z</dcterms:modified>
</cp:coreProperties>
</file>